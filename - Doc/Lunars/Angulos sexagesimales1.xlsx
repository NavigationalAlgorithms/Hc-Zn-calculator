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uiz\Desktop\AgetonClassic\"/>
    </mc:Choice>
  </mc:AlternateContent>
  <bookViews>
    <workbookView xWindow="480" yWindow="15" windowWidth="20025" windowHeight="14910"/>
  </bookViews>
  <sheets>
    <sheet name="D2DMM" sheetId="1" r:id="rId1"/>
  </sheets>
  <calcPr calcId="152511"/>
</workbook>
</file>

<file path=xl/calcChain.xml><?xml version="1.0" encoding="utf-8"?>
<calcChain xmlns="http://schemas.openxmlformats.org/spreadsheetml/2006/main">
  <c r="P21" i="1" l="1"/>
  <c r="M21" i="1"/>
  <c r="L21" i="1"/>
  <c r="Q21" i="1" s="1"/>
  <c r="P16" i="1"/>
  <c r="M16" i="1"/>
  <c r="L16" i="1"/>
  <c r="Q16" i="1" s="1"/>
  <c r="P10" i="1"/>
  <c r="M10" i="1"/>
  <c r="L10" i="1"/>
  <c r="Q10" i="1" s="1"/>
  <c r="L5" i="1"/>
  <c r="Q5" i="1"/>
  <c r="P5" i="1"/>
  <c r="M5" i="1"/>
  <c r="N5" i="1" s="1"/>
  <c r="A4" i="1"/>
  <c r="F7" i="1"/>
  <c r="E7" i="1"/>
  <c r="B7" i="1"/>
  <c r="C7" i="1" s="1"/>
  <c r="A7" i="1"/>
  <c r="A6" i="1"/>
  <c r="F6" i="1" s="1"/>
  <c r="A5" i="1"/>
  <c r="E5" i="1" s="1"/>
  <c r="A3" i="1"/>
  <c r="A2" i="1"/>
  <c r="E2" i="1" s="1"/>
  <c r="F3" i="1"/>
  <c r="E3" i="1"/>
  <c r="E4" i="1"/>
  <c r="F4" i="1"/>
  <c r="F5" i="1"/>
  <c r="E6" i="1"/>
  <c r="F2" i="1"/>
  <c r="B4" i="1"/>
  <c r="C4" i="1" s="1"/>
  <c r="B5" i="1"/>
  <c r="C5" i="1" s="1"/>
  <c r="B6" i="1"/>
  <c r="C6" i="1" s="1"/>
  <c r="N21" i="1" l="1"/>
  <c r="N16" i="1"/>
  <c r="N10" i="1"/>
  <c r="B2" i="1"/>
  <c r="C2" i="1" s="1"/>
  <c r="B3" i="1"/>
  <c r="C3" i="1" s="1"/>
</calcChain>
</file>

<file path=xl/sharedStrings.xml><?xml version="1.0" encoding="utf-8"?>
<sst xmlns="http://schemas.openxmlformats.org/spreadsheetml/2006/main" count="39" uniqueCount="14">
  <si>
    <r>
      <t xml:space="preserve">D </t>
    </r>
    <r>
      <rPr>
        <b/>
        <sz val="14"/>
        <rFont val="Wingdings"/>
        <charset val="2"/>
      </rPr>
      <t>ð</t>
    </r>
    <r>
      <rPr>
        <b/>
        <sz val="14"/>
        <rFont val="Arial"/>
        <family val="2"/>
      </rPr>
      <t xml:space="preserve"> DMS </t>
    </r>
    <r>
      <rPr>
        <b/>
        <sz val="14"/>
        <rFont val="Wingdings"/>
        <charset val="2"/>
      </rPr>
      <t>ð</t>
    </r>
    <r>
      <rPr>
        <b/>
        <sz val="14"/>
        <rFont val="Arial"/>
        <family val="2"/>
      </rPr>
      <t xml:space="preserve"> DMm</t>
    </r>
  </si>
  <si>
    <t>DMS</t>
  </si>
  <si>
    <t>DMm</t>
  </si>
  <si>
    <t>LD:</t>
  </si>
  <si>
    <t>LDo:</t>
  </si>
  <si>
    <t>N</t>
  </si>
  <si>
    <t>=</t>
  </si>
  <si>
    <t>P</t>
  </si>
  <si>
    <t>Q</t>
  </si>
  <si>
    <t>RBA</t>
  </si>
  <si>
    <t>n</t>
  </si>
  <si>
    <t>p</t>
  </si>
  <si>
    <t>q</t>
  </si>
  <si>
    <t>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</si>
</sst>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\º"/>
    <numFmt numFmtId="165" formatCode="00.0\'"/>
  </numFmts>
  <fonts count="7" x14ac:knownFonts="1">
    <font>
      <sz val="10"/>
      <name val="Arial"/>
    </font>
    <font>
      <sz val="8"/>
      <name val="Arial"/>
    </font>
    <font>
      <sz val="10"/>
      <name val="Arial"/>
      <family val="2"/>
    </font>
    <font>
      <b/>
      <sz val="14"/>
      <name val="Arial"/>
      <family val="2"/>
    </font>
    <font>
      <b/>
      <sz val="14"/>
      <name val="Wingdings"/>
      <charset val="2"/>
    </font>
    <font>
      <sz val="10"/>
      <color indexed="12"/>
      <name val="Arial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8">
    <xf numFmtId="0" fontId="0" fillId="0" borderId="0" xfId="0"/>
    <xf numFmtId="164" fontId="2" fillId="0" borderId="0" xfId="0" applyNumberFormat="1" applyFont="1" applyFill="1" applyBorder="1" applyProtection="1">
      <protection hidden="1"/>
    </xf>
    <xf numFmtId="165" fontId="2" fillId="0" borderId="0" xfId="0" applyNumberFormat="1" applyFont="1" applyFill="1" applyBorder="1" applyProtection="1">
      <protection hidden="1"/>
    </xf>
    <xf numFmtId="0" fontId="0" fillId="0" borderId="0" xfId="0" applyBorder="1" applyAlignment="1">
      <alignment horizontal="right"/>
    </xf>
    <xf numFmtId="0" fontId="3" fillId="0" borderId="1" xfId="0" applyFont="1" applyBorder="1"/>
    <xf numFmtId="0" fontId="5" fillId="0" borderId="0" xfId="0" applyFont="1"/>
    <xf numFmtId="0" fontId="3" fillId="0" borderId="1" xfId="0" applyFont="1" applyBorder="1" applyAlignment="1">
      <alignment horizontal="center"/>
    </xf>
    <xf numFmtId="0" fontId="6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showGridLines="0" tabSelected="1" workbookViewId="0">
      <selection activeCell="P5" sqref="P5"/>
    </sheetView>
  </sheetViews>
  <sheetFormatPr baseColWidth="10" defaultRowHeight="12.75" x14ac:dyDescent="0.2"/>
  <cols>
    <col min="9" max="9" width="4.85546875" bestFit="1" customWidth="1"/>
    <col min="10" max="10" width="2.140625" bestFit="1" customWidth="1"/>
    <col min="12" max="12" width="12" bestFit="1" customWidth="1"/>
    <col min="13" max="13" width="4.7109375" bestFit="1" customWidth="1"/>
    <col min="14" max="14" width="4.85546875" bestFit="1" customWidth="1"/>
    <col min="15" max="15" width="4" customWidth="1"/>
    <col min="16" max="16" width="9.85546875" bestFit="1" customWidth="1"/>
    <col min="17" max="17" width="8.140625" bestFit="1" customWidth="1"/>
  </cols>
  <sheetData>
    <row r="1" spans="1:17" ht="18" x14ac:dyDescent="0.25">
      <c r="A1" s="4" t="s">
        <v>0</v>
      </c>
      <c r="B1" s="4"/>
      <c r="C1" s="4"/>
      <c r="D1" s="4"/>
      <c r="E1" s="6" t="s">
        <v>1</v>
      </c>
      <c r="F1" s="6" t="s">
        <v>2</v>
      </c>
      <c r="I1" t="s">
        <v>3</v>
      </c>
    </row>
    <row r="2" spans="1:17" x14ac:dyDescent="0.2">
      <c r="A2" s="5">
        <f>K5</f>
        <v>64.216097510740695</v>
      </c>
      <c r="B2" s="1">
        <f>IF(ISERROR(A2),"",TRUNC(ROUND(A2,1)))</f>
        <v>64</v>
      </c>
      <c r="C2" s="2">
        <f>IF(ISERROR(A2),"",(A2-B2)*60)</f>
        <v>12.96585064444173</v>
      </c>
      <c r="E2" s="3" t="str">
        <f>TEXT((A2)/24,"[h]º m' ss\""")</f>
        <v>64º 12' 58"</v>
      </c>
      <c r="F2" s="3" t="str">
        <f>TEXT(INT((A2)),"#º")&amp;TEXT(60*((A2)-INT((A2)))," #.0'")</f>
        <v>64º 13.0'</v>
      </c>
      <c r="I2" t="s">
        <v>5</v>
      </c>
      <c r="J2" t="s">
        <v>6</v>
      </c>
      <c r="K2">
        <v>4.9472684088660698E-3</v>
      </c>
    </row>
    <row r="3" spans="1:17" x14ac:dyDescent="0.2">
      <c r="A3" s="5">
        <f>K10</f>
        <v>52.041775084637997</v>
      </c>
      <c r="B3" s="1">
        <f>IF(ISERROR(A3),"",TRUNC(ROUND(A3,1)))</f>
        <v>52</v>
      </c>
      <c r="C3" s="2">
        <f>IF(ISERROR(A3),"",(A3-B3)*60)</f>
        <v>2.5065050782798437</v>
      </c>
      <c r="E3" s="3" t="str">
        <f>TEXT((A3)/24,"[h]º m' ss\""")</f>
        <v>52º 2' 30"</v>
      </c>
      <c r="F3" s="3" t="str">
        <f>TEXT(INT((A3)),"#º")&amp;TEXT(60*((A3)-INT((A3)))," #.0'")</f>
        <v>52º 2.5'</v>
      </c>
      <c r="I3" t="s">
        <v>7</v>
      </c>
      <c r="J3" t="s">
        <v>6</v>
      </c>
      <c r="K3">
        <v>0.32299049839689498</v>
      </c>
    </row>
    <row r="4" spans="1:17" x14ac:dyDescent="0.2">
      <c r="A4" s="5">
        <f>K5</f>
        <v>64.216097510740695</v>
      </c>
      <c r="B4" s="1">
        <f>IF(ISERROR(A4),"",TRUNC(ROUND(A4,1)))</f>
        <v>64</v>
      </c>
      <c r="C4" s="2">
        <f>IF(ISERROR(A4),"",(A4-B4)*60)</f>
        <v>12.96585064444173</v>
      </c>
      <c r="E4" s="3" t="str">
        <f>TEXT((A4)/24,"[h]º m' ss\""")</f>
        <v>64º 12' 58"</v>
      </c>
      <c r="F4" s="3" t="str">
        <f>TEXT(INT((A4)),"#º")&amp;TEXT(60*((A4)-INT((A4)))," #.0'")</f>
        <v>64º 13.0'</v>
      </c>
      <c r="I4" t="s">
        <v>8</v>
      </c>
      <c r="J4" t="s">
        <v>6</v>
      </c>
      <c r="K4">
        <v>0.32793776680576098</v>
      </c>
    </row>
    <row r="5" spans="1:17" x14ac:dyDescent="0.2">
      <c r="A5" s="5">
        <f>K16</f>
        <v>64.222574046663098</v>
      </c>
      <c r="B5" s="1">
        <f>IF(ISERROR(A5),"",TRUNC(ROUND(A5,1)))</f>
        <v>64</v>
      </c>
      <c r="C5" s="2">
        <f>IF(ISERROR(A5),"",(A5-B5)*60)</f>
        <v>13.354442799785886</v>
      </c>
      <c r="E5" s="3" t="str">
        <f>TEXT((A5)/24,"[h]º m' ss\""")</f>
        <v>64º 13' 21"</v>
      </c>
      <c r="F5" s="3" t="str">
        <f>TEXT(INT((A5)),"#º")&amp;TEXT(60*((A5)-INT((A5)))," #.0'")</f>
        <v>64º 13.4'</v>
      </c>
      <c r="I5" t="s">
        <v>9</v>
      </c>
      <c r="J5" t="s">
        <v>6</v>
      </c>
      <c r="K5">
        <v>64.216097510740695</v>
      </c>
      <c r="L5">
        <f>K5</f>
        <v>64.216097510740695</v>
      </c>
      <c r="M5" s="1">
        <f>IF(ISERROR(L5),"",TRUNC(ROUND(L5,1)))</f>
        <v>64</v>
      </c>
      <c r="N5" s="2">
        <f>IF(ISERROR(L5),"",(L5-M5)*60)</f>
        <v>12.96585064444173</v>
      </c>
      <c r="P5" s="3" t="str">
        <f>TEXT((L5)/24,"[h]º m' ss\""")</f>
        <v>64º 12' 58"</v>
      </c>
      <c r="Q5" s="3" t="str">
        <f>TEXT(INT((L5)),"#º")&amp;TEXT(60*((L5)-INT((L5)))," #.0'")</f>
        <v>64º 13.0'</v>
      </c>
    </row>
    <row r="6" spans="1:17" x14ac:dyDescent="0.2">
      <c r="A6" s="5">
        <f>K21</f>
        <v>52.047544000817098</v>
      </c>
      <c r="B6" s="1">
        <f>IF(ISERROR(A6),"",TRUNC(ROUND(A6,1)))</f>
        <v>52</v>
      </c>
      <c r="C6" s="2">
        <f>IF(ISERROR(A6),"",(A6-B6)*60)</f>
        <v>2.8526400490258652</v>
      </c>
      <c r="E6" s="3" t="str">
        <f>TEXT((A6)/24,"[h]º m' ss\""")</f>
        <v>52º 2' 51"</v>
      </c>
      <c r="F6" s="3" t="str">
        <f>TEXT(INT((A6)),"#º")&amp;TEXT(60*((A6)-INT((A6)))," #.0'")</f>
        <v>52º 2.9'</v>
      </c>
      <c r="I6" t="s">
        <v>4</v>
      </c>
    </row>
    <row r="7" spans="1:17" x14ac:dyDescent="0.2">
      <c r="A7">
        <f>C17</f>
        <v>64.22328022590861</v>
      </c>
      <c r="B7" s="1">
        <f>IF(ISERROR(A7),"",TRUNC(ROUND(A7,1)))</f>
        <v>64</v>
      </c>
      <c r="C7" s="2">
        <f>IF(ISERROR(A7),"",(A7-B7)*60)</f>
        <v>13.396813554516598</v>
      </c>
      <c r="E7" s="3" t="str">
        <f>TEXT((A7)/24,"[h]º m' ss\""")</f>
        <v>64º 13' 24"</v>
      </c>
      <c r="F7" s="3" t="str">
        <f>TEXT(INT((A7)),"#º")&amp;TEXT(60*((A7)-INT((A7)))," #.0'")</f>
        <v>64º 13.4'</v>
      </c>
      <c r="I7" t="s">
        <v>10</v>
      </c>
      <c r="J7" t="s">
        <v>6</v>
      </c>
      <c r="K7">
        <v>4.0398524277773301E-3</v>
      </c>
    </row>
    <row r="8" spans="1:17" x14ac:dyDescent="0.2">
      <c r="I8" t="s">
        <v>11</v>
      </c>
      <c r="J8" t="s">
        <v>6</v>
      </c>
      <c r="K8">
        <v>0.32900359568467202</v>
      </c>
    </row>
    <row r="9" spans="1:17" x14ac:dyDescent="0.2">
      <c r="I9" t="s">
        <v>12</v>
      </c>
      <c r="J9" t="s">
        <v>6</v>
      </c>
      <c r="K9">
        <v>0.33304344811245001</v>
      </c>
    </row>
    <row r="10" spans="1:17" x14ac:dyDescent="0.2">
      <c r="I10" t="s">
        <v>13</v>
      </c>
      <c r="J10" t="s">
        <v>6</v>
      </c>
      <c r="K10">
        <v>52.041775084637997</v>
      </c>
      <c r="L10">
        <f>K10</f>
        <v>52.041775084637997</v>
      </c>
      <c r="M10" s="1">
        <f>IF(ISERROR(L10),"",TRUNC(ROUND(L10,1)))</f>
        <v>52</v>
      </c>
      <c r="N10" s="2">
        <f>IF(ISERROR(L10),"",(L10-M10)*60)</f>
        <v>2.5065050782798437</v>
      </c>
      <c r="P10" s="3" t="str">
        <f>TEXT((L10)/24,"[h]º m' ss\""")</f>
        <v>52º 2' 30"</v>
      </c>
      <c r="Q10" s="3" t="str">
        <f>TEXT(INT((L10)),"#º")&amp;TEXT(60*((L10)-INT((L10)))," #.0'")</f>
        <v>52º 2.5'</v>
      </c>
    </row>
    <row r="12" spans="1:17" x14ac:dyDescent="0.2">
      <c r="I12" t="s">
        <v>3</v>
      </c>
    </row>
    <row r="13" spans="1:17" x14ac:dyDescent="0.2">
      <c r="I13" t="s">
        <v>5</v>
      </c>
      <c r="J13" t="s">
        <v>6</v>
      </c>
      <c r="K13">
        <v>4.9370689059602298E-3</v>
      </c>
    </row>
    <row r="14" spans="1:17" x14ac:dyDescent="0.2">
      <c r="I14" t="s">
        <v>7</v>
      </c>
      <c r="J14" t="s">
        <v>6</v>
      </c>
      <c r="K14">
        <v>0.32300410096044102</v>
      </c>
    </row>
    <row r="15" spans="1:17" x14ac:dyDescent="0.2">
      <c r="I15" t="s">
        <v>8</v>
      </c>
      <c r="J15" t="s">
        <v>6</v>
      </c>
      <c r="K15">
        <v>0.32794116986640098</v>
      </c>
    </row>
    <row r="16" spans="1:17" x14ac:dyDescent="0.2">
      <c r="I16" t="s">
        <v>9</v>
      </c>
      <c r="J16" t="s">
        <v>6</v>
      </c>
      <c r="K16">
        <v>64.222574046663098</v>
      </c>
      <c r="L16">
        <f>K16</f>
        <v>64.222574046663098</v>
      </c>
      <c r="M16" s="1">
        <f>IF(ISERROR(L16),"",TRUNC(ROUND(L16,1)))</f>
        <v>64</v>
      </c>
      <c r="N16" s="2">
        <f>IF(ISERROR(L16),"",(L16-M16)*60)</f>
        <v>13.354442799785886</v>
      </c>
      <c r="P16" s="3" t="str">
        <f>TEXT((L16)/24,"[h]º m' ss\""")</f>
        <v>64º 13' 21"</v>
      </c>
      <c r="Q16" s="3" t="str">
        <f>TEXT(INT((L16)),"#º")&amp;TEXT(60*((L16)-INT((L16)))," #.0'")</f>
        <v>64º 13.4'</v>
      </c>
    </row>
    <row r="17" spans="1:17" ht="15" x14ac:dyDescent="0.25">
      <c r="A17" s="7">
        <v>0.43486524900000001</v>
      </c>
      <c r="B17" s="7">
        <v>1.1209076963730729</v>
      </c>
      <c r="C17" s="7">
        <v>64.22328022590861</v>
      </c>
      <c r="I17" t="s">
        <v>4</v>
      </c>
    </row>
    <row r="18" spans="1:17" x14ac:dyDescent="0.2">
      <c r="I18" t="s">
        <v>10</v>
      </c>
      <c r="J18" t="s">
        <v>6</v>
      </c>
      <c r="K18">
        <v>4.0398524277773301E-3</v>
      </c>
    </row>
    <row r="19" spans="1:17" x14ac:dyDescent="0.2">
      <c r="I19" t="s">
        <v>11</v>
      </c>
      <c r="J19" t="s">
        <v>6</v>
      </c>
      <c r="K19">
        <v>0.32900359568467202</v>
      </c>
    </row>
    <row r="20" spans="1:17" x14ac:dyDescent="0.2">
      <c r="I20" t="s">
        <v>12</v>
      </c>
      <c r="J20" t="s">
        <v>6</v>
      </c>
      <c r="K20">
        <v>0.33304344811245001</v>
      </c>
    </row>
    <row r="21" spans="1:17" x14ac:dyDescent="0.2">
      <c r="I21" t="s">
        <v>13</v>
      </c>
      <c r="J21" t="s">
        <v>6</v>
      </c>
      <c r="K21">
        <v>52.047544000817098</v>
      </c>
      <c r="L21">
        <f>K21</f>
        <v>52.047544000817098</v>
      </c>
      <c r="M21" s="1">
        <f>IF(ISERROR(L21),"",TRUNC(ROUND(L21,1)))</f>
        <v>52</v>
      </c>
      <c r="N21" s="2">
        <f>IF(ISERROR(L21),"",(L21-M21)*60)</f>
        <v>2.8526400490258652</v>
      </c>
      <c r="P21" s="3" t="str">
        <f>TEXT((L21)/24,"[h]º m' ss\""")</f>
        <v>52º 2' 51"</v>
      </c>
      <c r="Q21" s="3" t="str">
        <f>TEXT(INT((L21)),"#º")&amp;TEXT(60*((L21)-INT((L21)))," #.0'")</f>
        <v>52º 2.9'</v>
      </c>
    </row>
  </sheetData>
  <phoneticPr fontId="1" type="noConversion"/>
  <pageMargins left="0.59055118110236227" right="0.19685039370078741" top="0.78740157480314965" bottom="0.59055118110236227" header="0" footer="0"/>
  <pageSetup paperSize="9" orientation="portrait" r:id="rId1"/>
  <headerFooter alignWithMargins="0">
    <oddHeader>&amp;C&amp;F - &amp;A&amp;R&amp;D</oddHeader>
    <oddFooter xml:space="preserve">&amp;C&amp;8Andrés Ruiz
Navigational Algorithms
&amp;Uhttp://sites.google.com/site/navigationalalgorithms/&amp;U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D2DMM</vt:lpstr>
    </vt:vector>
  </TitlesOfParts>
  <Company>Navigational Algorithms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Ruiz</dc:creator>
  <cp:lastModifiedBy>Andres Ruiz</cp:lastModifiedBy>
  <cp:lastPrinted>2009-11-26T11:22:55Z</cp:lastPrinted>
  <dcterms:created xsi:type="dcterms:W3CDTF">2009-10-13T14:09:21Z</dcterms:created>
  <dcterms:modified xsi:type="dcterms:W3CDTF">2015-11-02T13:57:05Z</dcterms:modified>
</cp:coreProperties>
</file>